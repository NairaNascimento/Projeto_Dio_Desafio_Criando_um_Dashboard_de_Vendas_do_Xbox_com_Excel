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ira\Documents\CURSOS\Bootcamp Santander Excel com inteligencia artificial\"/>
    </mc:Choice>
  </mc:AlternateContent>
  <bookViews>
    <workbookView xWindow="-120" yWindow="-120" windowWidth="20730" windowHeight="1104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<sst xmlns="http://schemas.openxmlformats.org/spreadsheetml/2006/main" count="2044" uniqueCount="325">
  <si>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</si>
  <si>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</si>
  <si>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</si>
  <si>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</si>
  <si>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</si>
  <si>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</si>
  <si>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</si>
  <si>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</si>
  <si>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</si>
  <si>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</si>
  <si>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</si>
  <si>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</si>
  <si>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</si>
  <si>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</si>
  <si>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</si>
  <si>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</si>
  <si>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</si>
  <si>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</si>
  <si>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</si>
  <si>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</si>
  <si>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</si>
  <si>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</si>
  <si>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</si>
  <si>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</si>
  <si>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</si>
  <si>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</si>
  <si>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</si>
  <si>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</si>
  <si>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</si>
  <si>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</si>
  <si>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</si>
  <si>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</si>
  <si>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</si>
  <si>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</si>
  <si>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</si>
  <si>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</si>
  <si>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</si>
  <si>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</si>
  <si>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</si>
  <si>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</si>
  <si>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</si>
  <si>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</si>
  <si>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</si>
  <si>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</si>
  <si>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</si>
  <si>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</si>
  <si>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</si>
  <si>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</si>
  <si>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</si>
  <si>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</si>
  <si>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</si>
  <si>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</si>
  <si>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</si>
  <si>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</si>
  <si>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</si>
  <si>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</si>
  <si>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</si>
  <si>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</si>
  <si>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</si>
  <si>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</si>
  <si>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</si>
  <si>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</si>
  <si>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</si>
  <si>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</si>
  <si>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</si>
  <si>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</si>
  <si>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</si>
  <si>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</si>
  <si>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</si>
  <si>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</si>
  <si>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</si>
  <si>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</si>
  <si>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</si>
  <si>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</si>
  <si>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</si>
  <si>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</si>
  <si>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</si>
  <si>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</si>
  <si>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</si>
  <si>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</si>
  <si>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</si>
  <si>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</si>
  <si>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</si>
  <si>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</si>
  <si>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</si>
  <si>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</si>
  <si>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</si>
  <si>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</si>
  <si>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</si>
  <si>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</si>
  <si>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</si>
  <si>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</si>
  <si>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</si>
  <si>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</si>
  <si>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</si>
  <si>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</si>
  <si>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</si>
  <si>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</si>
  <si>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</si>
  <si>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</si>
  <si>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</si>
  <si>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</si>
  <si>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</si>
  <si>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</si>
  <si>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</si>
  <si>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</si>
  <si>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</si>
  <si>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</si>
  <si>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</si>
  <si>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</si>
  <si>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</si>
  <si>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</si>
  <si>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</si>
  <si>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</si>
  <si>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</si>
  <si>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</si>
  <si>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</si>
  <si>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</si>
  <si>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</si>
  <si>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</si>
  <si>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</si>
  <si>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</si>
  <si>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</si>
  <si>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</si>
  <si>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</si>
  <si>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</si>
  <si>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</si>
  <si>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</si>
  <si>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</si>
  <si>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</si>
  <si>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</si>
  <si>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</si>
  <si>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</si>
  <si>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</si>
  <si>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</si>
  <si>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</si>
  <si>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</si>
  <si>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</si>
  <si>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</si>
  <si>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</si>
  <si>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</si>
  <si>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</si>
  <si>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</si>
  <si>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</si>
  <si>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</si>
  <si>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</si>
  <si>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</si>
  <si>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</si>
  <si>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</si>
  <si>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</si>
  <si>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</si>
  <si>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</si>
  <si>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</si>
  <si>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</si>
  <si>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</si>
  <si>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</si>
  <si>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</si>
  <si>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</si>
  <si>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</si>
  <si>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</si>
  <si>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</si>
  <si>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</si>
  <si>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</si>
  <si>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</si>
  <si>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</si>
  <si>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</si>
  <si>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</si>
  <si>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</si>
  <si>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</si>
  <si>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</si>
  <si>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</si>
  <si>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</si>
  <si>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</si>
  <si>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</si>
  <si>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</si>
  <si>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</si>
  <si>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</si>
  <si>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</si>
  <si>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</si>
  <si>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</si>
  <si>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</si>
  <si>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</si>
  <si>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</si>
  <si>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</si>
  <si>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</si>
  <si>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</si>
  <si>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</si>
  <si>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</si>
  <si>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</si>
  <si>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</si>
  <si>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</si>
  <si>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</si>
  <si>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</si>
  <si>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</si>
  <si>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</si>
  <si>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</si>
  <si>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</si>
  <si>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</si>
  <si>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</si>
  <si>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</si>
  <si>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</si>
  <si>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</si>
  <si>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</si>
  <si>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</si>
  <si>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</si>
  <si>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</si>
  <si>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</si>
  <si>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</si>
  <si>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</si>
  <si>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</si>
  <si>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</si>
  <si>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</si>
  <si>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</si>
  <si>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</si>
  <si>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</si>
  <si>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</si>
  <si>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</si>
  <si>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</si>
  <si>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</si>
  <si>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</si>
  <si>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</si>
  <si>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</si>
  <si>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</si>
  <si>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</si>
  <si>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</si>
  <si>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</si>
  <si>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</si>
  <si>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</si>
  <si>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</si>
  <si>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</si>
  <si>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</si>
  <si>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</si>
  <si>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</si>
  <si>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</si>
  <si>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</si>
  <si>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</si>
  <si>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</si>
  <si>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</si>
  <si>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</si>
  <si>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</si>
  <si>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</si>
  <si>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</si>
  <si>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</si>
  <si>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</si>
  <si>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</si>
  <si>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</si>
  <si>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</si>
  <si>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</si>
  <si>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</si>
  <si>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</si>
  <si>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</si>
  <si>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</si>
  <si>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</si>
  <si>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</si>
  <si>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</si>
  <si>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</si>
  <si>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</si>
  <si>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</si>
  <si>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</si>
  <si>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</si>
  <si>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</si>
  <si>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</si>
  <si>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</si>
  <si>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</si>
  <si>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</si>
  <si>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</si>
  <si>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</si>
  <si>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</si>
  <si>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</si>
  <si>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</si>
  <si>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</si>
  <si>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</si>
  <si>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</si>
  <si>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</si>
  <si>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</si>
  <si>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</si>
  <si>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</si>
  <si>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</si>
  <si>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</si>
  <si>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</si>
  <si>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</si>
  <si>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</si>
  <si>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</si>
  <si>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</si>
  <si>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</si>
  <si>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</si>
  <si>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</si>
  <si>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</si>
  <si>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</si>
  <si>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</si>
  <si>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</si>
  <si>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</si>
  <si>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</si>
  <si>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</si>
  <si>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</si>
  <si>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</si>
  <si>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</si>
  <si>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</si>
  <si>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</si>
  <si>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</si>
  <si>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</si>
  <si>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</si>
  <si>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</si>
  <si>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</si>
  <si>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</si>
  <si>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</si>
  <si>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</si>
  <si>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</si>
  <si>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</si>
  <si>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</si>
  <si>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</si>
  <si>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</si>
  <si>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</si>
  <si>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</si>
  <si>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</si>
  <si>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</si>
  <si>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</si>
  <si>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</si>
  <si>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</si>
  <si>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Pergunta Negócio 4 - Total de Vendas de Assinaturas do Minecraft Season Pass</t>
  </si>
  <si>
    <t>Pergunta Negócio 3 - Total de Vendas de Assinaturas do EA Play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</si>
  <si>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</si>
  <si>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</si>
  <si>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É uma pergunta de negócio respondida através de alguma análise de dado específica</t>
  </si>
  <si>
    <t>Contagem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</si>
</sst>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&quot;R$&quot;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5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1" fillId="0" borderId="2" xfId="1" applyBorder="1"/>
    <xf numFmtId="164" fontId="0" fillId="0" borderId="0" xfId="2" applyFont="1"/>
    <xf numFmtId="0" fontId="4" fillId="0" borderId="2" xfId="1" applyFont="1" applyBorder="1" applyAlignment="1">
      <alignment horizontal="left" indent="4"/>
    </xf>
    <xf numFmtId="3" fontId="0" fillId="0" borderId="0" xfId="0" applyNumberFormat="1"/>
    <xf numFmtId="10" fontId="0" fillId="0" borderId="0" xfId="0" applyNumberFormat="1"/>
    <xf numFmtId="0" fontId="5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  <name val="Segoe UI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C7F5D7"/>
      <color rgb="FF5BE38C"/>
      <color rgb="FF22C55E"/>
      <color rgb="FF000000"/>
      <color rgb="FF89FFBE"/>
      <color rgb="FF2AE6B1"/>
      <color rgb="FF33CC33"/>
      <color rgb="FF5BF6A8"/>
      <color rgb="FF00CC66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[Projeto_Dio_Criando um Dashboard de Vendas do Xbox com Excel.xlsx]C̳álculos!Tabela dinâmica7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"R$"#,##0.00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4-4C7E-8923-5D5BF81376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2061296"/>
        <c:axId val="1588484400"/>
      </c:barChart>
      <c:catAx>
        <c:axId val="16020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484400"/>
        <c:crosses val="autoZero"/>
        <c:auto val="1"/>
        <c:lblAlgn val="ctr"/>
        <c:lblOffset val="100"/>
        <c:noMultiLvlLbl val="0"/>
      </c:catAx>
      <c:valAx>
        <c:axId val="1588484400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6020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[Projeto_Dio_Criando um Dashboard de Vendas do Xbox com Excel.xlsx]C̳álculos!Tabela dinâmica8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C̳álculos!$F$44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1A0-4E83-917F-1E9F4875A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1A0-4E83-917F-1E9F4875A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1A0-4E83-917F-1E9F4875A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C̳álculos!$E$45:$E$47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C̳álculos!$F$45:$F$47</c:f>
              <c:numCache>
                <c:formatCode>0.00%</c:formatCode>
                <c:ptCount val="3"/>
                <c:pt idx="0">
                  <c:v>6.8415051311288486E-2</c:v>
                </c:pt>
                <c:pt idx="1">
                  <c:v>0.25541619156214368</c:v>
                </c:pt>
                <c:pt idx="2">
                  <c:v>0.67616875712656788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E-4944-A5CF-4D13DF719B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[Projeto_Dio_Criando um Dashboard de Vendas do Xbox com Excel.xlsx]C̳álculos!Tbl_annual_Total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5511020796657798E-2"/>
          <c:y val="2.6559362813090067E-2"/>
          <c:w val="0.92860532288115294"/>
          <c:h val="0.973440637186909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F-4C1C-91A7-D2CD47913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3827903"/>
        <c:axId val="1863829567"/>
      </c:barChart>
      <c:catAx>
        <c:axId val="186382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829567"/>
        <c:crosses val="autoZero"/>
        <c:auto val="1"/>
        <c:lblAlgn val="ctr"/>
        <c:lblOffset val="100"/>
        <c:noMultiLvlLbl val="0"/>
      </c:catAx>
      <c:valAx>
        <c:axId val="1863829567"/>
        <c:scaling>
          <c:orientation val="minMax"/>
        </c:scaling>
        <c:delete val="1"/>
        <c:axPos val="b"/>
        <c:numFmt formatCode="&quot;R$&quot;#,##0.00" sourceLinked="1"/>
        <c:majorTickMark val="none"/>
        <c:minorTickMark val="none"/>
        <c:tickLblPos val="nextTo"/>
        <c:crossAx val="186382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[Projeto_Dio_Criando um Dashboard de Vendas do Xbox com Excel.xlsx]C̳álculos!Tabela dinâmica6</c:name>
    <c:fmtId val="6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89FFB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20-4C4B-9852-ED91716A2AA3}"/>
              </c:ext>
            </c:extLst>
          </c:dPt>
          <c:dPt>
            <c:idx val="1"/>
            <c:bubble3D val="0"/>
            <c:spPr>
              <a:solidFill>
                <a:srgbClr val="89FFB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0-4C4B-9852-ED91716A2A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C̳álculos!$E$9:$E$11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C̳álculos!$F$9:$F$11</c:f>
              <c:numCache>
                <c:formatCode>#,##0</c:formatCode>
                <c:ptCount val="2"/>
                <c:pt idx="0">
                  <c:v>11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0-4C4B-9852-ED91716A2A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[Projeto_Dio_Criando um Dashboard de Vendas do Xbox com Excel.xlsx]C̳álculos!Tabela dinâmica7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"R$"#,##0.00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4-49F1-BD3E-D7F6F54E0F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2061296"/>
        <c:axId val="1588484400"/>
      </c:barChart>
      <c:catAx>
        <c:axId val="16020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484400"/>
        <c:crosses val="autoZero"/>
        <c:auto val="1"/>
        <c:lblAlgn val="ctr"/>
        <c:lblOffset val="100"/>
        <c:noMultiLvlLbl val="0"/>
      </c:catAx>
      <c:valAx>
        <c:axId val="1588484400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6020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[Projeto_Dio_Criando um Dashboard de Vendas do Xbox com Excel.xlsx]C̳álculos!Tabela dinâmica8</c:name>
    <c:fmtId val="8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rgbClr val="C7F5D7"/>
          </a:solidFill>
          <a:ln>
            <a:noFill/>
          </a:ln>
          <a:effectLst/>
          <a:sp3d/>
        </c:spPr>
      </c:pivotFmt>
      <c:pivotFmt>
        <c:idx val="13"/>
        <c:spPr>
          <a:solidFill>
            <a:srgbClr val="5BE38C"/>
          </a:solidFill>
          <a:ln>
            <a:noFill/>
          </a:ln>
          <a:effectLst/>
          <a:sp3d/>
        </c:spPr>
      </c:pivotFmt>
      <c:pivotFmt>
        <c:idx val="14"/>
        <c:spPr>
          <a:solidFill>
            <a:srgbClr val="22C55E"/>
          </a:solidFill>
          <a:ln>
            <a:noFill/>
          </a:ln>
          <a:effectLst/>
          <a:sp3d/>
        </c:spPr>
      </c:pivotFmt>
    </c:pivotFmts>
    <c:view3D>
      <c:rotX val="15"/>
      <c:rotY val="6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C̳álculos!$F$44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5"/>
            <c:spPr>
              <a:solidFill>
                <a:srgbClr val="C7F5D7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ADA-4ED7-9B83-951E429672C1}"/>
              </c:ext>
            </c:extLst>
          </c:dPt>
          <c:dPt>
            <c:idx val="1"/>
            <c:bubble3D val="0"/>
            <c:explosion val="5"/>
            <c:spPr>
              <a:solidFill>
                <a:srgbClr val="5BE38C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ADA-4ED7-9B83-951E429672C1}"/>
              </c:ext>
            </c:extLst>
          </c:dPt>
          <c:dPt>
            <c:idx val="2"/>
            <c:bubble3D val="0"/>
            <c:explosion val="5"/>
            <c:spPr>
              <a:solidFill>
                <a:srgbClr val="22C55E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ADA-4ED7-9B83-951E429672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C̳álculos!$E$45:$E$47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C̳álculos!$F$45:$F$47</c:f>
              <c:numCache>
                <c:formatCode>0.00%</c:formatCode>
                <c:ptCount val="3"/>
                <c:pt idx="0">
                  <c:v>6.8415051311288486E-2</c:v>
                </c:pt>
                <c:pt idx="1">
                  <c:v>0.25541619156214368</c:v>
                </c:pt>
                <c:pt idx="2">
                  <c:v>0.67616875712656788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A-4ED7-9B83-951E429672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.xml"/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3.xml"/><Relationship Id="rId15" Type="http://schemas.openxmlformats.org/officeDocument/2006/relationships/chart" Target="../charts/chart6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533400</xdr:colOff>
      <xdr:row>49</xdr:row>
      <xdr:rowOff>76200</xdr:rowOff>
    </xdr:from>
    <xdr:to>
      <xdr:col>3</xdr:col>
      <xdr:colOff>1590675</xdr:colOff>
      <xdr:row>64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257175</xdr:colOff>
      <xdr:row>49</xdr:row>
      <xdr:rowOff>85725</xdr:rowOff>
    </xdr:from>
    <xdr:to>
      <xdr:col>6</xdr:col>
      <xdr:colOff>2000250</xdr:colOff>
      <xdr:row>64</xdr:row>
      <xdr:rowOff>114300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2657615</xdr:colOff>
      <xdr:row>0</xdr:row>
      <xdr:rowOff>119061</xdr:rowOff>
    </xdr:from>
    <xdr:to>
      <xdr:col>2</xdr:col>
      <xdr:colOff>511969</xdr:colOff>
      <xdr:row>2</xdr:row>
      <xdr:rowOff>214312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15881" r="71939" b="18149"/>
        <a:stretch/>
      </xdr:blipFill>
      <xdr:spPr>
        <a:xfrm>
          <a:off x="2657615" y="119061"/>
          <a:ext cx="807104" cy="773907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202405</xdr:colOff>
      <xdr:row>6</xdr:row>
      <xdr:rowOff>42862</xdr:rowOff>
    </xdr:from>
    <xdr:to>
      <xdr:col>0</xdr:col>
      <xdr:colOff>2333625</xdr:colOff>
      <xdr:row>17</xdr:row>
      <xdr:rowOff>11904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405" y="1554956"/>
              <a:ext cx="2131220" cy="2112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71438</xdr:colOff>
      <xdr:row>6</xdr:row>
      <xdr:rowOff>65484</xdr:rowOff>
    </xdr:from>
    <xdr:to>
      <xdr:col>10</xdr:col>
      <xdr:colOff>571500</xdr:colOff>
      <xdr:row>15</xdr:row>
      <xdr:rowOff>23811</xdr:rowOff>
    </xdr:to>
    <xdr:grpSp>
      <xdr:nvGrpSpPr>
        <xdr:cNvPr id="11" name="Agrupar 10"/>
        <xdr:cNvGrpSpPr/>
      </xdr:nvGrpSpPr>
      <xdr:grpSpPr>
        <a:xfrm>
          <a:off x="3024188" y="1577578"/>
          <a:ext cx="6024562" cy="1744264"/>
          <a:chOff x="3024188" y="1381125"/>
          <a:chExt cx="4774406" cy="1524000"/>
        </a:xfrm>
      </xdr:grpSpPr>
      <xdr:sp macro="" textlink="">
        <xdr:nvSpPr>
          <xdr:cNvPr id="7" name="Retângulo Arredondado 6"/>
          <xdr:cNvSpPr/>
        </xdr:nvSpPr>
        <xdr:spPr>
          <a:xfrm>
            <a:off x="3036094" y="1535906"/>
            <a:ext cx="4750593" cy="130968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 Arredondado 7"/>
          <xdr:cNvSpPr/>
        </xdr:nvSpPr>
        <xdr:spPr>
          <a:xfrm>
            <a:off x="4331494" y="1718071"/>
            <a:ext cx="3026569" cy="95488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D23FB84-184C-4E4F-9668-118C984481DB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71813" y="1619250"/>
            <a:ext cx="1371600" cy="1285875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3024188" y="1381125"/>
            <a:ext cx="4774406" cy="41671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SUBSCRIPTION EA</a:t>
            </a:r>
            <a:r>
              <a:rPr lang="pt-BR" sz="1100" b="1" baseline="0">
                <a:latin typeface="+mn-lt"/>
                <a:cs typeface="+mn-cs"/>
              </a:rPr>
              <a:t> 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238125</xdr:colOff>
      <xdr:row>6</xdr:row>
      <xdr:rowOff>92273</xdr:rowOff>
    </xdr:from>
    <xdr:to>
      <xdr:col>21</xdr:col>
      <xdr:colOff>11906</xdr:colOff>
      <xdr:row>14</xdr:row>
      <xdr:rowOff>175616</xdr:rowOff>
    </xdr:to>
    <xdr:grpSp>
      <xdr:nvGrpSpPr>
        <xdr:cNvPr id="15" name="Agrupar 14"/>
        <xdr:cNvGrpSpPr/>
      </xdr:nvGrpSpPr>
      <xdr:grpSpPr>
        <a:xfrm>
          <a:off x="9405938" y="1604367"/>
          <a:ext cx="6119812" cy="1690687"/>
          <a:chOff x="8667750" y="1315641"/>
          <a:chExt cx="4774406" cy="1494234"/>
        </a:xfrm>
      </xdr:grpSpPr>
      <xdr:grpSp>
        <xdr:nvGrpSpPr>
          <xdr:cNvPr id="12" name="Agrupar 11"/>
          <xdr:cNvGrpSpPr/>
        </xdr:nvGrpSpPr>
        <xdr:grpSpPr>
          <a:xfrm>
            <a:off x="8667750" y="1315641"/>
            <a:ext cx="4774406" cy="1494234"/>
            <a:chOff x="3024188" y="1381126"/>
            <a:chExt cx="4774406" cy="1464468"/>
          </a:xfrm>
        </xdr:grpSpPr>
        <xdr:sp macro="" textlink="">
          <xdr:nvSpPr>
            <xdr:cNvPr id="13" name="Retângulo Arredondado 12"/>
            <xdr:cNvSpPr/>
          </xdr:nvSpPr>
          <xdr:spPr>
            <a:xfrm>
              <a:off x="3036094" y="1535906"/>
              <a:ext cx="4750593" cy="13096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4" name="Retângulo Arredondado 13"/>
            <xdr:cNvSpPr/>
          </xdr:nvSpPr>
          <xdr:spPr>
            <a:xfrm>
              <a:off x="4081463" y="1729978"/>
              <a:ext cx="3609976" cy="95488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ADD8AF5-AF8A-46AB-AAE7-D01F58F2DEFE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R$ 940,00 </a:t>
              </a:fld>
              <a:endParaRPr lang="pt-BR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Arredondar Retângulo no Mesmo Canto Lateral 15"/>
            <xdr:cNvSpPr/>
          </xdr:nvSpPr>
          <xdr:spPr>
            <a:xfrm>
              <a:off x="3024188" y="1381126"/>
              <a:ext cx="4774406" cy="41671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 MINECRAFT SEASON PASS PRICE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905875" y="1857376"/>
            <a:ext cx="964406" cy="559594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69055</xdr:colOff>
      <xdr:row>16</xdr:row>
      <xdr:rowOff>45243</xdr:rowOff>
    </xdr:from>
    <xdr:to>
      <xdr:col>21</xdr:col>
      <xdr:colOff>87836</xdr:colOff>
      <xdr:row>38</xdr:row>
      <xdr:rowOff>47625</xdr:rowOff>
    </xdr:to>
    <xdr:grpSp>
      <xdr:nvGrpSpPr>
        <xdr:cNvPr id="21" name="Agrupar 20"/>
        <xdr:cNvGrpSpPr/>
      </xdr:nvGrpSpPr>
      <xdr:grpSpPr>
        <a:xfrm>
          <a:off x="3021805" y="3521868"/>
          <a:ext cx="12579875" cy="3931445"/>
          <a:chOff x="2997994" y="3188493"/>
          <a:chExt cx="10444162" cy="3407570"/>
        </a:xfrm>
      </xdr:grpSpPr>
      <xdr:grpSp>
        <xdr:nvGrpSpPr>
          <xdr:cNvPr id="6" name="Agrupar 5"/>
          <xdr:cNvGrpSpPr/>
        </xdr:nvGrpSpPr>
        <xdr:grpSpPr>
          <a:xfrm>
            <a:off x="3012281" y="3345657"/>
            <a:ext cx="10417969" cy="3250406"/>
            <a:chOff x="2547937" y="1190626"/>
            <a:chExt cx="4702969" cy="3250406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2547937" y="1190626"/>
              <a:ext cx="4702969" cy="3250406"/>
            </a:xfrm>
            <a:prstGeom prst="roundRect">
              <a:avLst>
                <a:gd name="adj" fmla="val 457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553312" y="1512094"/>
            <a:ext cx="4676095" cy="289321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0" name="Arredondar Retângulo no Mesmo Canto Lateral 19"/>
          <xdr:cNvSpPr/>
        </xdr:nvSpPr>
        <xdr:spPr>
          <a:xfrm>
            <a:off x="2997994" y="3188493"/>
            <a:ext cx="10444162" cy="41671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SUBSCRIPTION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745331</xdr:colOff>
      <xdr:row>1</xdr:row>
      <xdr:rowOff>119063</xdr:rowOff>
    </xdr:from>
    <xdr:to>
      <xdr:col>0</xdr:col>
      <xdr:colOff>1600200</xdr:colOff>
      <xdr:row>2</xdr:row>
      <xdr:rowOff>347663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745331" y="297657"/>
          <a:ext cx="854869" cy="728662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369094</xdr:colOff>
      <xdr:row>2</xdr:row>
      <xdr:rowOff>452438</xdr:rowOff>
    </xdr:from>
    <xdr:to>
      <xdr:col>0</xdr:col>
      <xdr:colOff>2524125</xdr:colOff>
      <xdr:row>5</xdr:row>
      <xdr:rowOff>35719</xdr:rowOff>
    </xdr:to>
    <xdr:sp macro="" textlink="">
      <xdr:nvSpPr>
        <xdr:cNvPr id="23" name="Retângulo Arredondado 22"/>
        <xdr:cNvSpPr/>
      </xdr:nvSpPr>
      <xdr:spPr>
        <a:xfrm>
          <a:off x="369094" y="1131094"/>
          <a:ext cx="2155031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 Bem-Vinda,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Liana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35720</xdr:colOff>
      <xdr:row>2</xdr:row>
      <xdr:rowOff>464344</xdr:rowOff>
    </xdr:from>
    <xdr:to>
      <xdr:col>12</xdr:col>
      <xdr:colOff>166688</xdr:colOff>
      <xdr:row>5</xdr:row>
      <xdr:rowOff>47625</xdr:rowOff>
    </xdr:to>
    <xdr:sp macro="" textlink="">
      <xdr:nvSpPr>
        <xdr:cNvPr id="24" name="Retângulo Arredondado 23"/>
        <xdr:cNvSpPr/>
      </xdr:nvSpPr>
      <xdr:spPr>
        <a:xfrm>
          <a:off x="2988470" y="1143000"/>
          <a:ext cx="6846093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100" b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a 31/12/2024 | Update date: 01/02/2026  09:17:00</a:t>
          </a:r>
          <a:endParaRPr lang="pt-BR" sz="1100" b="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119063</xdr:colOff>
      <xdr:row>39</xdr:row>
      <xdr:rowOff>142875</xdr:rowOff>
    </xdr:from>
    <xdr:to>
      <xdr:col>8</xdr:col>
      <xdr:colOff>68461</xdr:colOff>
      <xdr:row>58</xdr:row>
      <xdr:rowOff>166686</xdr:rowOff>
    </xdr:to>
    <xdr:grpSp>
      <xdr:nvGrpSpPr>
        <xdr:cNvPr id="28" name="Agrupar 27"/>
        <xdr:cNvGrpSpPr/>
      </xdr:nvGrpSpPr>
      <xdr:grpSpPr>
        <a:xfrm>
          <a:off x="3071813" y="7727156"/>
          <a:ext cx="4092773" cy="3417093"/>
          <a:chOff x="3964782" y="7584281"/>
          <a:chExt cx="5203031" cy="3417093"/>
        </a:xfrm>
      </xdr:grpSpPr>
      <xdr:sp macro="" textlink="">
        <xdr:nvSpPr>
          <xdr:cNvPr id="26" name="Retângulo Arredondado 25"/>
          <xdr:cNvSpPr/>
        </xdr:nvSpPr>
        <xdr:spPr>
          <a:xfrm>
            <a:off x="3964783" y="7691439"/>
            <a:ext cx="5203030" cy="3309935"/>
          </a:xfrm>
          <a:prstGeom prst="roundRect">
            <a:avLst>
              <a:gd name="adj" fmla="val 587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5" name="Gráfico 24"/>
          <xdr:cNvGraphicFramePr>
            <a:graphicFrameLocks/>
          </xdr:cNvGraphicFramePr>
        </xdr:nvGraphicFramePr>
        <xdr:xfrm>
          <a:off x="4738687" y="8120063"/>
          <a:ext cx="3702843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27" name="Arredondar Retângulo no Mesmo Canto Lateral 26"/>
          <xdr:cNvSpPr/>
        </xdr:nvSpPr>
        <xdr:spPr>
          <a:xfrm>
            <a:off x="3964782" y="7584281"/>
            <a:ext cx="5198137" cy="476947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SUBSCRIPTION EA SEASON PASS QUANTIDADE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8</xdr:col>
      <xdr:colOff>202406</xdr:colOff>
      <xdr:row>39</xdr:row>
      <xdr:rowOff>136921</xdr:rowOff>
    </xdr:from>
    <xdr:to>
      <xdr:col>14</xdr:col>
      <xdr:colOff>342304</xdr:colOff>
      <xdr:row>58</xdr:row>
      <xdr:rowOff>172639</xdr:rowOff>
    </xdr:to>
    <xdr:grpSp>
      <xdr:nvGrpSpPr>
        <xdr:cNvPr id="29" name="Agrupar 28"/>
        <xdr:cNvGrpSpPr/>
      </xdr:nvGrpSpPr>
      <xdr:grpSpPr>
        <a:xfrm>
          <a:off x="7298531" y="7721202"/>
          <a:ext cx="4092773" cy="3429000"/>
          <a:chOff x="9298781" y="7572375"/>
          <a:chExt cx="5203031" cy="3429000"/>
        </a:xfrm>
      </xdr:grpSpPr>
      <xdr:grpSp>
        <xdr:nvGrpSpPr>
          <xdr:cNvPr id="31" name="Agrupar 30"/>
          <xdr:cNvGrpSpPr/>
        </xdr:nvGrpSpPr>
        <xdr:grpSpPr>
          <a:xfrm>
            <a:off x="9298781" y="7572375"/>
            <a:ext cx="5203031" cy="3417093"/>
            <a:chOff x="3964782" y="7584281"/>
            <a:chExt cx="5203031" cy="3417093"/>
          </a:xfrm>
        </xdr:grpSpPr>
        <xdr:sp macro="" textlink="">
          <xdr:nvSpPr>
            <xdr:cNvPr id="34" name="Retângulo Arredondado 33"/>
            <xdr:cNvSpPr/>
          </xdr:nvSpPr>
          <xdr:spPr>
            <a:xfrm>
              <a:off x="3964783" y="7691439"/>
              <a:ext cx="5203030" cy="3309935"/>
            </a:xfrm>
            <a:prstGeom prst="roundRect">
              <a:avLst>
                <a:gd name="adj" fmla="val 587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6" name="Arredondar Retângulo no Mesmo Canto Lateral 35"/>
            <xdr:cNvSpPr/>
          </xdr:nvSpPr>
          <xdr:spPr>
            <a:xfrm>
              <a:off x="3964782" y="7584281"/>
              <a:ext cx="5198137" cy="476947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 EA SEASON PASS TOTAL VENDIDO EM R$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7" name="Gráfico 36"/>
          <xdr:cNvGraphicFramePr>
            <a:graphicFrameLocks/>
          </xdr:cNvGraphicFramePr>
        </xdr:nvGraphicFramePr>
        <xdr:xfrm>
          <a:off x="9346406" y="8036719"/>
          <a:ext cx="5131594" cy="2964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 editAs="absolute">
    <xdr:from>
      <xdr:col>14</xdr:col>
      <xdr:colOff>428624</xdr:colOff>
      <xdr:row>39</xdr:row>
      <xdr:rowOff>142875</xdr:rowOff>
    </xdr:from>
    <xdr:to>
      <xdr:col>21</xdr:col>
      <xdr:colOff>95250</xdr:colOff>
      <xdr:row>58</xdr:row>
      <xdr:rowOff>166686</xdr:rowOff>
    </xdr:to>
    <xdr:grpSp>
      <xdr:nvGrpSpPr>
        <xdr:cNvPr id="30" name="Agrupar 29"/>
        <xdr:cNvGrpSpPr/>
      </xdr:nvGrpSpPr>
      <xdr:grpSpPr>
        <a:xfrm>
          <a:off x="11477624" y="7727156"/>
          <a:ext cx="4131470" cy="3417093"/>
          <a:chOff x="12227718" y="7727156"/>
          <a:chExt cx="4464844" cy="3417093"/>
        </a:xfrm>
      </xdr:grpSpPr>
      <xdr:grpSp>
        <xdr:nvGrpSpPr>
          <xdr:cNvPr id="39" name="Agrupar 38"/>
          <xdr:cNvGrpSpPr/>
        </xdr:nvGrpSpPr>
        <xdr:grpSpPr>
          <a:xfrm>
            <a:off x="12227718" y="7727156"/>
            <a:ext cx="4464844" cy="3417093"/>
            <a:chOff x="3964782" y="7584281"/>
            <a:chExt cx="5203031" cy="3417093"/>
          </a:xfrm>
        </xdr:grpSpPr>
        <xdr:sp macro="" textlink="">
          <xdr:nvSpPr>
            <xdr:cNvPr id="41" name="Retângulo Arredondado 40"/>
            <xdr:cNvSpPr/>
          </xdr:nvSpPr>
          <xdr:spPr>
            <a:xfrm>
              <a:off x="3964783" y="7691439"/>
              <a:ext cx="5203030" cy="3309935"/>
            </a:xfrm>
            <a:prstGeom prst="roundRect">
              <a:avLst>
                <a:gd name="adj" fmla="val 587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2" name="Arredondar Retângulo no Mesmo Canto Lateral 41"/>
            <xdr:cNvSpPr/>
          </xdr:nvSpPr>
          <xdr:spPr>
            <a:xfrm>
              <a:off x="3964782" y="7584281"/>
              <a:ext cx="5198137" cy="476947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 EA SEASON PASS TOTAL VENDIDO EM %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43" name="Gráfico 42"/>
          <xdr:cNvGraphicFramePr>
            <a:graphicFrameLocks/>
          </xdr:cNvGraphicFramePr>
        </xdr:nvGraphicFramePr>
        <xdr:xfrm>
          <a:off x="12330655" y="8596313"/>
          <a:ext cx="4069054" cy="23217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ira Nascimento" refreshedDate="46054.429197569443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6" baseItem="0" numFmtId="165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B44:C4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2" baseItem="0" numFmtId="165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>
  <location ref="E8:F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Contagem de Total Value" fld="12" subtotal="count" baseField="4" baseItem="0" numFmtId="3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bl_annual_EA Play Season Pass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8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9">
  <location ref="E44:F4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3">
    <i>
      <x/>
    </i>
    <i>
      <x v="1"/>
    </i>
    <i>
      <x v="2"/>
    </i>
  </rowItems>
  <colItems count="1">
    <i/>
  </colItems>
  <pageFields count="1">
    <pageField fld="6" item="0" hier="-1"/>
  </pageFields>
  <dataFields count="1">
    <dataField name="Soma de Total Value" fld="12" showDataAs="percentOfTotal" baseField="2" baseItem="0" numFmtId="10"/>
  </dataFields>
  <chartFormats count="9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annual_EA Play Season Pass"/>
    <pivotTable tabId="3" name="Tabela dinâmica3"/>
    <pivotTable tabId="3" name="Tabela dinâmica6"/>
    <pivotTable tabId="3" name="Tabela dinâmica7"/>
    <pivotTable tabId="3" name="Tabela dinâmica8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G20" sqref="G2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D1" sqref="D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1:F48"/>
  <sheetViews>
    <sheetView showGridLines="0" topLeftCell="A40" workbookViewId="0">
      <selection activeCell="I65" sqref="I65"/>
    </sheetView>
  </sheetViews>
  <sheetFormatPr defaultRowHeight="14.25"/>
  <cols>
    <col min="1" max="1" width="9" customWidth="1"/>
    <col min="2" max="2" width="18" customWidth="1"/>
    <col min="3" max="3" width="19.125" customWidth="1"/>
    <col min="4" max="4" width="21.75" customWidth="1"/>
    <col min="5" max="5" width="18" bestFit="1" customWidth="1"/>
    <col min="6" max="6" width="19.125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2:6">
      <c r="B1" s="21" t="s">
        <v>323</v>
      </c>
      <c r="C1" s="21"/>
      <c r="D1" s="21"/>
      <c r="E1" s="21"/>
      <c r="F1" s="21"/>
    </row>
    <row r="3" spans="2:6" ht="15">
      <c r="B3" t="s">
        <v>321</v>
      </c>
    </row>
    <row r="4" spans="2:6" ht="15">
      <c r="B4" t="s">
        <v>322</v>
      </c>
    </row>
    <row r="6" spans="2:6">
      <c r="B6" s="12" t="s">
        <v>16</v>
      </c>
      <c r="C6" t="s">
        <v>24</v>
      </c>
      <c r="E6" s="12" t="s">
        <v>16</v>
      </c>
      <c r="F6" t="s">
        <v>24</v>
      </c>
    </row>
    <row r="8" spans="2:6">
      <c r="B8" s="12" t="s">
        <v>313</v>
      </c>
      <c r="C8" t="s">
        <v>315</v>
      </c>
      <c r="E8" s="12" t="s">
        <v>313</v>
      </c>
      <c r="F8" t="s">
        <v>324</v>
      </c>
    </row>
    <row r="9" spans="2:6">
      <c r="B9" s="13" t="s">
        <v>23</v>
      </c>
      <c r="C9" s="15">
        <v>217</v>
      </c>
      <c r="E9" s="13" t="s">
        <v>23</v>
      </c>
      <c r="F9" s="19">
        <v>11</v>
      </c>
    </row>
    <row r="10" spans="2:6">
      <c r="B10" s="13" t="s">
        <v>19</v>
      </c>
      <c r="C10" s="15">
        <v>1537</v>
      </c>
      <c r="E10" s="13" t="s">
        <v>19</v>
      </c>
      <c r="F10" s="19">
        <v>60</v>
      </c>
    </row>
    <row r="11" spans="2:6">
      <c r="B11" s="13" t="s">
        <v>314</v>
      </c>
      <c r="C11" s="15">
        <v>1754</v>
      </c>
      <c r="E11" s="13" t="s">
        <v>314</v>
      </c>
      <c r="F11" s="19">
        <v>71</v>
      </c>
    </row>
    <row r="17" spans="2:5">
      <c r="B17" s="13" t="s">
        <v>320</v>
      </c>
    </row>
    <row r="19" spans="2:5">
      <c r="B19" s="12" t="s">
        <v>16</v>
      </c>
      <c r="C19" t="s">
        <v>24</v>
      </c>
    </row>
    <row r="21" spans="2:5">
      <c r="B21" s="12" t="s">
        <v>313</v>
      </c>
      <c r="C21" t="s">
        <v>317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600</v>
      </c>
    </row>
    <row r="25" spans="2:5">
      <c r="B25" s="13" t="s">
        <v>314</v>
      </c>
      <c r="C25" s="14">
        <v>600</v>
      </c>
      <c r="E25" s="17">
        <f>GETPIVOTDATA("EA Play Season Pass
Price",$B$21)</f>
        <v>600</v>
      </c>
    </row>
    <row r="28" spans="2:5">
      <c r="B28" s="13" t="s">
        <v>319</v>
      </c>
    </row>
    <row r="30" spans="2:5">
      <c r="B30" s="12" t="s">
        <v>16</v>
      </c>
      <c r="C30" t="s">
        <v>24</v>
      </c>
    </row>
    <row r="32" spans="2:5">
      <c r="B32" s="12" t="s">
        <v>313</v>
      </c>
      <c r="C32" t="s">
        <v>318</v>
      </c>
    </row>
    <row r="33" spans="2:6">
      <c r="B33" s="13" t="s">
        <v>22</v>
      </c>
      <c r="C33" s="14">
        <v>0</v>
      </c>
    </row>
    <row r="34" spans="2:6">
      <c r="B34" s="13" t="s">
        <v>26</v>
      </c>
      <c r="C34" s="14">
        <v>540</v>
      </c>
    </row>
    <row r="35" spans="2:6">
      <c r="B35" s="13" t="s">
        <v>18</v>
      </c>
      <c r="C35" s="14">
        <v>400</v>
      </c>
    </row>
    <row r="36" spans="2:6">
      <c r="B36" s="13" t="s">
        <v>314</v>
      </c>
      <c r="C36" s="14">
        <v>940</v>
      </c>
      <c r="E36" s="17">
        <f>GETPIVOTDATA("Minecraft Season Pass Price",$B$32)</f>
        <v>940</v>
      </c>
    </row>
    <row r="42" spans="2:6">
      <c r="B42" s="12" t="s">
        <v>16</v>
      </c>
      <c r="C42" t="s">
        <v>24</v>
      </c>
      <c r="E42" s="12" t="s">
        <v>16</v>
      </c>
      <c r="F42" t="s">
        <v>24</v>
      </c>
    </row>
    <row r="44" spans="2:6">
      <c r="B44" s="12" t="s">
        <v>313</v>
      </c>
      <c r="C44" t="s">
        <v>315</v>
      </c>
      <c r="E44" s="12" t="s">
        <v>313</v>
      </c>
      <c r="F44" t="s">
        <v>315</v>
      </c>
    </row>
    <row r="45" spans="2:6">
      <c r="B45" s="13" t="s">
        <v>22</v>
      </c>
      <c r="C45" s="15">
        <v>120</v>
      </c>
      <c r="E45" s="13" t="s">
        <v>22</v>
      </c>
      <c r="F45" s="20">
        <v>6.8415051311288486E-2</v>
      </c>
    </row>
    <row r="46" spans="2:6">
      <c r="B46" s="13" t="s">
        <v>26</v>
      </c>
      <c r="C46" s="15">
        <v>448</v>
      </c>
      <c r="E46" s="13" t="s">
        <v>26</v>
      </c>
      <c r="F46" s="20">
        <v>0.25541619156214368</v>
      </c>
    </row>
    <row r="47" spans="2:6">
      <c r="B47" s="13" t="s">
        <v>18</v>
      </c>
      <c r="C47" s="15">
        <v>1186</v>
      </c>
      <c r="E47" s="13" t="s">
        <v>18</v>
      </c>
      <c r="F47" s="20">
        <v>0.67616875712656788</v>
      </c>
    </row>
    <row r="48" spans="2:6">
      <c r="B48" s="13" t="s">
        <v>314</v>
      </c>
      <c r="C48" s="15">
        <v>1754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I201"/>
  <sheetViews>
    <sheetView showGridLines="0" showRowColHeaders="0" tabSelected="1" zoomScale="80" zoomScaleNormal="80" workbookViewId="0">
      <selection activeCell="N63" sqref="N63"/>
    </sheetView>
  </sheetViews>
  <sheetFormatPr defaultRowHeight="14.25"/>
  <cols>
    <col min="1" max="1" width="35.125" style="4" customWidth="1"/>
    <col min="2" max="2" width="3.625" customWidth="1"/>
    <col min="12" max="12" width="6.625" customWidth="1"/>
    <col min="18" max="18" width="4.25" customWidth="1"/>
  </cols>
  <sheetData>
    <row r="2" spans="2:139" ht="39" customHeight="1" thickBot="1">
      <c r="C2" s="18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139" ht="39" customHeight="1" thickTop="1"/>
    <row r="4" spans="2:139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</row>
    <row r="5" spans="2:13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</row>
    <row r="6" spans="2:139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</row>
    <row r="7" spans="2:139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</row>
    <row r="8" spans="2:139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</row>
    <row r="9" spans="2:13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</row>
    <row r="10" spans="2:13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</row>
    <row r="11" spans="2:13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</row>
    <row r="12" spans="2:13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</row>
    <row r="13" spans="2:13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</row>
    <row r="14" spans="2:13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</row>
    <row r="15" spans="2:13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</row>
    <row r="16" spans="2:13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</row>
    <row r="17" spans="2:13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</row>
    <row r="18" spans="2:13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</row>
    <row r="19" spans="2:13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</row>
    <row r="20" spans="2:13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</row>
    <row r="21" spans="2:13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</row>
    <row r="22" spans="2:13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</row>
    <row r="23" spans="2:13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</row>
    <row r="24" spans="2:13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</row>
    <row r="25" spans="2:13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</row>
    <row r="26" spans="2:13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</row>
    <row r="27" spans="2:13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</row>
    <row r="28" spans="2:13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</row>
    <row r="29" spans="2:13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</row>
    <row r="30" spans="2:13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</row>
    <row r="31" spans="2:13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</row>
    <row r="32" spans="2:13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</row>
    <row r="33" spans="2:13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</row>
    <row r="34" spans="2:13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</row>
    <row r="35" spans="2:13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</row>
    <row r="36" spans="2:13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</row>
    <row r="37" spans="2:13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</row>
    <row r="38" spans="2:13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</row>
    <row r="39" spans="2:13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</row>
    <row r="40" spans="2:13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</row>
    <row r="41" spans="2:13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</row>
    <row r="42" spans="2:13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</row>
    <row r="43" spans="2:13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</row>
    <row r="44" spans="2:13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</row>
    <row r="45" spans="2:13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</row>
    <row r="46" spans="2:13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</row>
    <row r="47" spans="2:13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</row>
    <row r="48" spans="2:13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</row>
    <row r="49" spans="2:13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</row>
    <row r="50" spans="2:13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</row>
    <row r="51" spans="2:13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</row>
    <row r="52" spans="2:13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</row>
    <row r="53" spans="2:13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</row>
    <row r="54" spans="2:13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</row>
    <row r="55" spans="2:13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</row>
    <row r="56" spans="2:13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</row>
    <row r="57" spans="2:139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</row>
    <row r="58" spans="2:13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</row>
    <row r="59" spans="2:13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</row>
    <row r="60" spans="2:13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</row>
    <row r="61" spans="2:13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</row>
    <row r="62" spans="2:13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</row>
    <row r="63" spans="2:13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</row>
    <row r="64" spans="2:13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</row>
    <row r="65" spans="2:13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</row>
    <row r="66" spans="2:13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</row>
    <row r="67" spans="2:13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</row>
    <row r="68" spans="2:13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</row>
    <row r="69" spans="2:13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</row>
    <row r="70" spans="2:13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</row>
    <row r="71" spans="2:13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</row>
    <row r="72" spans="2:13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</row>
    <row r="73" spans="2:13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</row>
    <row r="74" spans="2:13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</row>
    <row r="75" spans="2:13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</row>
    <row r="76" spans="2:13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</row>
    <row r="77" spans="2:13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</row>
    <row r="78" spans="2:13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</row>
    <row r="79" spans="2:13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</row>
    <row r="80" spans="2:13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</row>
    <row r="81" spans="2:13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</row>
    <row r="82" spans="2:13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</row>
    <row r="83" spans="2:13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</row>
    <row r="84" spans="2:13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</row>
    <row r="85" spans="2:13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</row>
    <row r="86" spans="2:13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</row>
    <row r="87" spans="2:13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</row>
    <row r="88" spans="2:13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</row>
    <row r="89" spans="2:13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</row>
    <row r="90" spans="2:13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</row>
    <row r="91" spans="2:13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</row>
    <row r="92" spans="2:13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</row>
    <row r="93" spans="2:13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</row>
    <row r="94" spans="2:13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</row>
    <row r="95" spans="2:13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</row>
    <row r="96" spans="2:13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</row>
    <row r="97" spans="2:13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</row>
    <row r="98" spans="2:13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</row>
    <row r="99" spans="2:13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</row>
    <row r="100" spans="2:13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</row>
    <row r="101" spans="2:13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</row>
    <row r="102" spans="2:13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</row>
    <row r="103" spans="2:13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</row>
    <row r="104" spans="2:13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</row>
    <row r="105" spans="2:13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</row>
    <row r="106" spans="2:13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</row>
    <row r="107" spans="2:13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</row>
    <row r="108" spans="2:13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</row>
    <row r="109" spans="2:13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</row>
    <row r="110" spans="2:139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</row>
    <row r="111" spans="2:139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</row>
    <row r="112" spans="2:139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</row>
    <row r="113" spans="2:139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</row>
    <row r="114" spans="2:139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</row>
    <row r="115" spans="2:139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</row>
    <row r="116" spans="2:139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</row>
    <row r="117" spans="2:139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</row>
    <row r="118" spans="2:139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</row>
    <row r="119" spans="2:13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</row>
    <row r="120" spans="2:139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</row>
    <row r="121" spans="2:139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</row>
    <row r="122" spans="2:139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</row>
    <row r="123" spans="2:139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</row>
    <row r="124" spans="2:139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</row>
    <row r="125" spans="2:139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</row>
    <row r="126" spans="2:139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</row>
    <row r="127" spans="2:139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</row>
    <row r="128" spans="2:139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</row>
    <row r="129" spans="2:13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</row>
    <row r="130" spans="2:139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</row>
    <row r="131" spans="2:139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</row>
    <row r="132" spans="2:139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</row>
    <row r="133" spans="2:139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</row>
    <row r="134" spans="2:139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</row>
    <row r="135" spans="2:139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</row>
    <row r="136" spans="2:139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</row>
    <row r="137" spans="2:13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</row>
    <row r="138" spans="2:13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</row>
    <row r="139" spans="2:13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</row>
    <row r="140" spans="2:13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</row>
    <row r="141" spans="2:13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</row>
    <row r="142" spans="2:13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</row>
    <row r="143" spans="2:13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</row>
    <row r="144" spans="2:13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</row>
    <row r="145" spans="2:13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</row>
    <row r="146" spans="2:13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</row>
    <row r="147" spans="2:13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</row>
    <row r="148" spans="2:13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</row>
    <row r="149" spans="2:13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</row>
    <row r="150" spans="2:13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</row>
    <row r="151" spans="2:13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</row>
    <row r="152" spans="2:13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</row>
    <row r="153" spans="2:13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</row>
    <row r="154" spans="2:13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</row>
    <row r="155" spans="2:13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</row>
    <row r="156" spans="2:13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</row>
    <row r="157" spans="2:13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</row>
    <row r="158" spans="2:13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</row>
    <row r="159" spans="2:13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</row>
    <row r="160" spans="2:13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</row>
    <row r="161" spans="2:13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</row>
    <row r="162" spans="2:13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</row>
    <row r="163" spans="2:13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</row>
    <row r="164" spans="2:13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</row>
    <row r="165" spans="2:13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</row>
    <row r="166" spans="2:13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</row>
    <row r="167" spans="2:13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</row>
    <row r="168" spans="2:13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</row>
    <row r="169" spans="2:13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</row>
    <row r="170" spans="2:13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</row>
    <row r="171" spans="2:13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</row>
    <row r="172" spans="2:13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</row>
    <row r="173" spans="2:13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</row>
    <row r="174" spans="2:13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</row>
    <row r="175" spans="2:13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</row>
    <row r="176" spans="2:13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</row>
    <row r="177" spans="2:13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</row>
    <row r="178" spans="2:13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</row>
    <row r="179" spans="2:13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</row>
    <row r="180" spans="2:13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</row>
    <row r="181" spans="2:13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</row>
    <row r="182" spans="2:13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</row>
    <row r="183" spans="2:13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</row>
    <row r="184" spans="2:13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</row>
    <row r="185" spans="2:13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</row>
    <row r="186" spans="2:13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</row>
    <row r="187" spans="2:13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</row>
    <row r="188" spans="2:13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</row>
    <row r="189" spans="2:13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</row>
    <row r="190" spans="2:13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</row>
    <row r="191" spans="2:13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</row>
    <row r="192" spans="2:13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</row>
    <row r="193" spans="2:13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</row>
    <row r="194" spans="2:13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</row>
    <row r="195" spans="2:13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</row>
    <row r="196" spans="2:13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</row>
    <row r="197" spans="2:13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</row>
    <row r="198" spans="2:13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</row>
    <row r="199" spans="2:13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</row>
    <row r="200" spans="2:13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</row>
    <row r="201" spans="2:13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851b35d3-0456-4d6a-bc2f-da927e91d158"/>
    <ds:schemaRef ds:uri="19483571-f922-4e8e-9c1c-26f0a225213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Naira Nascimento</cp:lastModifiedBy>
  <dcterms:created xsi:type="dcterms:W3CDTF">2024-12-19T13:13:10Z</dcterms:created>
  <dcterms:modified xsi:type="dcterms:W3CDTF">2026-02-01T13:53:40Z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